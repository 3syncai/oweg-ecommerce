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b4983655db0d5b/Desktop/"/>
    </mc:Choice>
  </mc:AlternateContent>
  <xr:revisionPtr revIDLastSave="3" documentId="8_{241AAD18-9B27-44BE-95F2-65DF5EE23DAD}" xr6:coauthVersionLast="47" xr6:coauthVersionMax="47" xr10:uidLastSave="{EB5602C2-7547-4E65-8D00-31E58D444738}"/>
  <bookViews>
    <workbookView xWindow="-110" yWindow="-110" windowWidth="19420" windowHeight="11500" xr2:uid="{00000000-000D-0000-FFFF-FFFF00000000}"/>
  </bookViews>
  <sheets>
    <sheet name="Sheet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J4" i="4"/>
  <c r="G4" i="4"/>
  <c r="AE19" i="4"/>
  <c r="AF19" i="4"/>
  <c r="AB19" i="4"/>
  <c r="AC19" i="4"/>
  <c r="R19" i="4"/>
  <c r="S19" i="4" s="1"/>
  <c r="T19" i="4" s="1"/>
  <c r="U19" i="4"/>
  <c r="V19" i="4"/>
  <c r="W19" i="4"/>
  <c r="L19" i="4"/>
  <c r="M19" i="4"/>
  <c r="N19" i="4"/>
  <c r="O19" i="4"/>
  <c r="P19" i="4"/>
  <c r="Q19" i="4"/>
  <c r="X19" i="4"/>
  <c r="Y19" i="4"/>
  <c r="AB18" i="4"/>
  <c r="AC18" i="4"/>
  <c r="AE18" i="4"/>
  <c r="AF18" i="4"/>
  <c r="U18" i="4"/>
  <c r="J18" i="4"/>
  <c r="R18" i="4" s="1"/>
  <c r="S18" i="4" s="1"/>
  <c r="L18" i="4"/>
  <c r="M18" i="4"/>
  <c r="N18" i="4"/>
  <c r="O18" i="4"/>
  <c r="P18" i="4"/>
  <c r="Q18" i="4"/>
  <c r="X18" i="4"/>
  <c r="Y18" i="4"/>
  <c r="AB17" i="4"/>
  <c r="AC17" i="4"/>
  <c r="AE17" i="4"/>
  <c r="AF17" i="4"/>
  <c r="J6" i="4"/>
  <c r="J7" i="4"/>
  <c r="J9" i="4"/>
  <c r="J10" i="4"/>
  <c r="R10" i="4" s="1"/>
  <c r="J11" i="4"/>
  <c r="J12" i="4"/>
  <c r="J13" i="4"/>
  <c r="R13" i="4" s="1"/>
  <c r="S13" i="4" s="1"/>
  <c r="J17" i="4"/>
  <c r="U17" i="4"/>
  <c r="V17" i="4" s="1"/>
  <c r="L17" i="4"/>
  <c r="M17" i="4" s="1"/>
  <c r="O17" i="4"/>
  <c r="P17" i="4" s="1"/>
  <c r="Q17" i="4" s="1"/>
  <c r="X17" i="4"/>
  <c r="Y17" i="4"/>
  <c r="AE16" i="4"/>
  <c r="AF16" i="4" s="1"/>
  <c r="AB16" i="4"/>
  <c r="AC16" i="4" s="1"/>
  <c r="Y16" i="4"/>
  <c r="X16" i="4"/>
  <c r="U16" i="4"/>
  <c r="O16" i="4"/>
  <c r="P16" i="4" s="1"/>
  <c r="L16" i="4"/>
  <c r="M16" i="4" s="1"/>
  <c r="N16" i="4" s="1"/>
  <c r="J16" i="4"/>
  <c r="AE15" i="4"/>
  <c r="AF15" i="4" s="1"/>
  <c r="AB15" i="4"/>
  <c r="AC15" i="4" s="1"/>
  <c r="Y15" i="4"/>
  <c r="X15" i="4"/>
  <c r="U15" i="4"/>
  <c r="O15" i="4"/>
  <c r="L15" i="4"/>
  <c r="J15" i="4"/>
  <c r="Y14" i="4"/>
  <c r="X14" i="4"/>
  <c r="U14" i="4"/>
  <c r="O14" i="4"/>
  <c r="L14" i="4"/>
  <c r="AE14" i="4"/>
  <c r="AF14" i="4" s="1"/>
  <c r="AB14" i="4"/>
  <c r="AC14" i="4" s="1"/>
  <c r="AE13" i="4"/>
  <c r="AF13" i="4" s="1"/>
  <c r="AB13" i="4"/>
  <c r="AC13" i="4"/>
  <c r="U13" i="4"/>
  <c r="V13" i="4"/>
  <c r="W13" i="4"/>
  <c r="L13" i="4"/>
  <c r="M13" i="4"/>
  <c r="O13" i="4"/>
  <c r="P13" i="4"/>
  <c r="Q13" i="4"/>
  <c r="X13" i="4"/>
  <c r="Y13" i="4"/>
  <c r="AE12" i="4"/>
  <c r="AF12" i="4" s="1"/>
  <c r="AB12" i="4"/>
  <c r="AC12" i="4" s="1"/>
  <c r="Y12" i="4"/>
  <c r="X12" i="4"/>
  <c r="U12" i="4"/>
  <c r="O12" i="4"/>
  <c r="L12" i="4"/>
  <c r="AE11" i="4"/>
  <c r="AF11" i="4" s="1"/>
  <c r="AB11" i="4"/>
  <c r="AC11" i="4" s="1"/>
  <c r="Y11" i="4"/>
  <c r="X11" i="4"/>
  <c r="U11" i="4"/>
  <c r="O11" i="4"/>
  <c r="P11" i="4" s="1"/>
  <c r="Q11" i="4" s="1"/>
  <c r="L11" i="4"/>
  <c r="AE10" i="4"/>
  <c r="AF10" i="4" s="1"/>
  <c r="AB10" i="4"/>
  <c r="AC10" i="4" s="1"/>
  <c r="Y10" i="4"/>
  <c r="X10" i="4"/>
  <c r="U10" i="4"/>
  <c r="O10" i="4"/>
  <c r="L10" i="4"/>
  <c r="M10" i="4" s="1"/>
  <c r="N10" i="4" s="1"/>
  <c r="AE9" i="4"/>
  <c r="AF9" i="4" s="1"/>
  <c r="AB9" i="4"/>
  <c r="AC9" i="4" s="1"/>
  <c r="Y9" i="4"/>
  <c r="X9" i="4"/>
  <c r="U9" i="4"/>
  <c r="O9" i="4"/>
  <c r="L9" i="4"/>
  <c r="M9" i="4" s="1"/>
  <c r="N9" i="4" s="1"/>
  <c r="AE8" i="4"/>
  <c r="AF8" i="4" s="1"/>
  <c r="AB8" i="4"/>
  <c r="AC8" i="4" s="1"/>
  <c r="Y8" i="4"/>
  <c r="X8" i="4"/>
  <c r="U8" i="4"/>
  <c r="V8" i="4" s="1"/>
  <c r="W8" i="4" s="1"/>
  <c r="O8" i="4"/>
  <c r="L8" i="4"/>
  <c r="J8" i="4"/>
  <c r="AE7" i="4"/>
  <c r="AF7" i="4" s="1"/>
  <c r="AB7" i="4"/>
  <c r="AC7" i="4" s="1"/>
  <c r="Y7" i="4"/>
  <c r="X7" i="4"/>
  <c r="U7" i="4"/>
  <c r="O7" i="4"/>
  <c r="L7" i="4"/>
  <c r="AE6" i="4"/>
  <c r="AF6" i="4" s="1"/>
  <c r="AB6" i="4"/>
  <c r="AC6" i="4" s="1"/>
  <c r="Y6" i="4"/>
  <c r="X6" i="4"/>
  <c r="U6" i="4"/>
  <c r="O6" i="4"/>
  <c r="L6" i="4"/>
  <c r="AE5" i="4"/>
  <c r="AF5" i="4" s="1"/>
  <c r="AB5" i="4"/>
  <c r="AC5" i="4" s="1"/>
  <c r="Y5" i="4"/>
  <c r="X5" i="4"/>
  <c r="U5" i="4"/>
  <c r="O5" i="4"/>
  <c r="P5" i="4" s="1"/>
  <c r="Q5" i="4" s="1"/>
  <c r="L5" i="4"/>
  <c r="J5" i="4"/>
  <c r="AE4" i="4"/>
  <c r="AF4" i="4" s="1"/>
  <c r="AB4" i="4"/>
  <c r="AC4" i="4" s="1"/>
  <c r="Y4" i="4"/>
  <c r="X4" i="4"/>
  <c r="U4" i="4"/>
  <c r="O4" i="4"/>
  <c r="P4" i="4" s="1"/>
  <c r="Q4" i="4" s="1"/>
  <c r="L4" i="4"/>
  <c r="R4" i="4" l="1"/>
  <c r="N13" i="4"/>
  <c r="R9" i="4"/>
  <c r="R5" i="4"/>
  <c r="N17" i="4"/>
  <c r="R17" i="4"/>
  <c r="V18" i="4"/>
  <c r="W18" i="4" s="1"/>
  <c r="T18" i="4"/>
  <c r="Z18" i="4" s="1"/>
  <c r="R14" i="4"/>
  <c r="S14" i="4" s="1"/>
  <c r="T14" i="4" s="1"/>
  <c r="R12" i="4"/>
  <c r="S12" i="4" s="1"/>
  <c r="T12" i="4" s="1"/>
  <c r="R8" i="4"/>
  <c r="S8" i="4" s="1"/>
  <c r="T8" i="4" s="1"/>
  <c r="R11" i="4"/>
  <c r="S11" i="4" s="1"/>
  <c r="T11" i="4" s="1"/>
  <c r="W17" i="4"/>
  <c r="R16" i="4"/>
  <c r="V16" i="4"/>
  <c r="W16" i="4" s="1"/>
  <c r="Q16" i="4"/>
  <c r="R15" i="4"/>
  <c r="V15" i="4"/>
  <c r="W15" i="4" s="1"/>
  <c r="M15" i="4"/>
  <c r="N15" i="4" s="1"/>
  <c r="P15" i="4"/>
  <c r="Q15" i="4" s="1"/>
  <c r="V14" i="4"/>
  <c r="W14" i="4" s="1"/>
  <c r="M14" i="4"/>
  <c r="N14" i="4" s="1"/>
  <c r="P14" i="4"/>
  <c r="Q14" i="4" s="1"/>
  <c r="T13" i="4"/>
  <c r="R7" i="4"/>
  <c r="R6" i="4"/>
  <c r="S10" i="4"/>
  <c r="T10" i="4" s="1"/>
  <c r="S5" i="4"/>
  <c r="T5" i="4" s="1"/>
  <c r="S9" i="4"/>
  <c r="T9" i="4" s="1"/>
  <c r="V12" i="4"/>
  <c r="W12" i="4" s="1"/>
  <c r="V5" i="4"/>
  <c r="W5" i="4" s="1"/>
  <c r="M7" i="4"/>
  <c r="N7" i="4" s="1"/>
  <c r="M8" i="4"/>
  <c r="N8" i="4" s="1"/>
  <c r="V6" i="4"/>
  <c r="W6" i="4" s="1"/>
  <c r="P8" i="4"/>
  <c r="Q8" i="4" s="1"/>
  <c r="V7" i="4"/>
  <c r="W7" i="4" s="1"/>
  <c r="P9" i="4"/>
  <c r="Q9" i="4" s="1"/>
  <c r="P10" i="4"/>
  <c r="Q10" i="4" s="1"/>
  <c r="M6" i="4"/>
  <c r="N6" i="4" s="1"/>
  <c r="V11" i="4"/>
  <c r="W11" i="4" s="1"/>
  <c r="V4" i="4"/>
  <c r="W4" i="4" s="1"/>
  <c r="P7" i="4"/>
  <c r="Q7" i="4" s="1"/>
  <c r="M12" i="4"/>
  <c r="N12" i="4" s="1"/>
  <c r="M5" i="4"/>
  <c r="N5" i="4" s="1"/>
  <c r="V10" i="4"/>
  <c r="W10" i="4" s="1"/>
  <c r="P6" i="4"/>
  <c r="Q6" i="4" s="1"/>
  <c r="V9" i="4"/>
  <c r="W9" i="4" s="1"/>
  <c r="M11" i="4"/>
  <c r="N11" i="4" s="1"/>
  <c r="M4" i="4"/>
  <c r="N4" i="4" s="1"/>
  <c r="P12" i="4"/>
  <c r="Q12" i="4" s="1"/>
  <c r="S4" i="4" l="1"/>
  <c r="T4" i="4"/>
  <c r="Z14" i="4"/>
  <c r="S17" i="4"/>
  <c r="T17" i="4" s="1"/>
  <c r="Z17" i="4" s="1"/>
  <c r="S16" i="4"/>
  <c r="T16" i="4" s="1"/>
  <c r="Z16" i="4" s="1"/>
  <c r="S15" i="4"/>
  <c r="T15" i="4" s="1"/>
  <c r="Z15" i="4" s="1"/>
  <c r="Z4" i="4"/>
  <c r="Z11" i="4"/>
  <c r="Z10" i="4"/>
  <c r="Z5" i="4"/>
  <c r="Z9" i="4"/>
  <c r="Z12" i="4"/>
  <c r="Z8" i="4"/>
  <c r="S7" i="4"/>
  <c r="T7" i="4" s="1"/>
  <c r="Z7" i="4" s="1"/>
  <c r="S6" i="4"/>
  <c r="T6" i="4" s="1"/>
  <c r="Z6" i="4" s="1"/>
  <c r="AJ9" i="4" l="1"/>
  <c r="AK4" i="4"/>
  <c r="AK5" i="4" s="1"/>
  <c r="AK6" i="4" s="1"/>
  <c r="AK7" i="4" s="1"/>
  <c r="AK8" i="4" s="1"/>
  <c r="AK9" i="4" s="1"/>
  <c r="AK10" i="4" s="1"/>
  <c r="AK11" i="4" s="1"/>
  <c r="AK12" i="4" s="1"/>
  <c r="AK13" i="4" s="1"/>
  <c r="AK14" i="4" s="1"/>
  <c r="AK15" i="4" s="1"/>
  <c r="AK16" i="4" s="1"/>
  <c r="AK17" i="4" s="1"/>
  <c r="AK18" i="4" s="1"/>
  <c r="AK19" i="4" s="1"/>
</calcChain>
</file>

<file path=xl/sharedStrings.xml><?xml version="1.0" encoding="utf-8"?>
<sst xmlns="http://schemas.openxmlformats.org/spreadsheetml/2006/main" count="128" uniqueCount="64">
  <si>
    <t>Payment Date</t>
  </si>
  <si>
    <t>Invoice Date</t>
  </si>
  <si>
    <t>Order ID</t>
  </si>
  <si>
    <t>Invoice No</t>
  </si>
  <si>
    <t>Item Status</t>
  </si>
  <si>
    <t>10-Sep-2026</t>
  </si>
  <si>
    <t>ORD1001</t>
  </si>
  <si>
    <t>INV1001</t>
  </si>
  <si>
    <t>Sale</t>
  </si>
  <si>
    <t>ORD1002</t>
  </si>
  <si>
    <t>INV1002</t>
  </si>
  <si>
    <t>Return</t>
  </si>
  <si>
    <t>Delivered</t>
  </si>
  <si>
    <t>-</t>
  </si>
  <si>
    <t>Transaction ID</t>
  </si>
  <si>
    <t>Basic</t>
  </si>
  <si>
    <t>Bank Settlement</t>
  </si>
  <si>
    <t>Logistics Fee (B)</t>
  </si>
  <si>
    <t>Item Price (A)</t>
  </si>
  <si>
    <t>Total Listing Price ©</t>
  </si>
  <si>
    <t>A</t>
  </si>
  <si>
    <t>B</t>
  </si>
  <si>
    <t>D</t>
  </si>
  <si>
    <t>E</t>
  </si>
  <si>
    <t>F</t>
  </si>
  <si>
    <t>J</t>
  </si>
  <si>
    <t>K</t>
  </si>
  <si>
    <t>L</t>
  </si>
  <si>
    <t>Order Date</t>
  </si>
  <si>
    <t xml:space="preserve">Total </t>
  </si>
  <si>
    <t xml:space="preserve">Reverse Logistic Fee </t>
  </si>
  <si>
    <t xml:space="preserve"> Cancellation Fee </t>
  </si>
  <si>
    <t>Claim Amount</t>
  </si>
  <si>
    <t>I</t>
  </si>
  <si>
    <t>G</t>
  </si>
  <si>
    <t>H</t>
  </si>
  <si>
    <t xml:space="preserve">Payment
</t>
  </si>
  <si>
    <t>Balance Amount</t>
  </si>
  <si>
    <t>ORD1003</t>
  </si>
  <si>
    <t>ORD1004</t>
  </si>
  <si>
    <t xml:space="preserve">Transit </t>
  </si>
  <si>
    <t>Payment</t>
  </si>
  <si>
    <t>Bank Settlements</t>
  </si>
  <si>
    <t>ORD1005</t>
  </si>
  <si>
    <t>ORD1006</t>
  </si>
  <si>
    <t>Category</t>
  </si>
  <si>
    <t>Claim</t>
  </si>
  <si>
    <t>Cancellation</t>
  </si>
  <si>
    <t>Platform Fee (D) @5%</t>
  </si>
  <si>
    <t>Commission Fee (E) @2%</t>
  </si>
  <si>
    <t>TCS @0.5% (G)</t>
  </si>
  <si>
    <t>TDS @0.1% (H)</t>
  </si>
  <si>
    <t>INV1003</t>
  </si>
  <si>
    <t>INV1004</t>
  </si>
  <si>
    <t>INV1005</t>
  </si>
  <si>
    <t>INV1006</t>
  </si>
  <si>
    <t>Cancelled</t>
  </si>
  <si>
    <t>ORD1007</t>
  </si>
  <si>
    <t>INV1007</t>
  </si>
  <si>
    <t>ORD1008</t>
  </si>
  <si>
    <t>INV1009</t>
  </si>
  <si>
    <t>GST</t>
  </si>
  <si>
    <t>Partner Commission Fee (F)</t>
  </si>
  <si>
    <t>C (A+B)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</si>
</sst>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4" fontId="0" fillId="8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10" borderId="7" xfId="0" applyNumberFormat="1" applyFill="1" applyBorder="1" applyAlignment="1">
      <alignment horizontal="center" vertical="center"/>
    </xf>
    <xf numFmtId="164" fontId="0" fillId="9" borderId="7" xfId="0" applyNumberFormat="1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4" fontId="0" fillId="8" borderId="7" xfId="0" applyNumberFormat="1" applyFill="1" applyBorder="1" applyAlignment="1">
      <alignment horizontal="center" vertical="center"/>
    </xf>
    <xf numFmtId="4" fontId="0" fillId="8" borderId="7" xfId="0" applyNumberFormat="1" applyFill="1" applyBorder="1" applyAlignment="1">
      <alignment horizontal="center" vertical="center"/>
    </xf>
    <xf numFmtId="164" fontId="0" fillId="8" borderId="7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843C46F-445E-4F12-990E-B5BFCC435A9A}">
  <dimension ref="A1:AN19"/>
  <sheetViews>
    <sheetView tabSelected="1" workbookViewId="0">
      <selection activeCell="N12" sqref="N12"/>
    </sheetView>
  </sheetViews>
  <sheetFormatPr defaultColWidth="8.90625" defaultRowHeight="14.5" ns3:dyDescent="0.35"/>
  <cols>
    <col min="1" max="1" width="8.6328125" bestFit="1" customWidth="1"/>
    <col min="2" max="2" width="9.90625" bestFit="1" customWidth="1"/>
    <col min="3" max="3" width="11.08984375" bestFit="1" customWidth="1"/>
    <col min="4" max="4" width="11.1796875" bestFit="1" customWidth="1"/>
    <col min="5" max="5" width="8" bestFit="1" customWidth="1"/>
    <col min="6" max="6" width="10.08984375" bestFit="1" customWidth="1"/>
    <col min="7" max="7" width="10.08984375" customWidth="1"/>
    <col min="8" max="9" width="8.6328125" bestFit="1" customWidth="1"/>
    <col min="10" max="10" width="10.08984375" bestFit="1" customWidth="1"/>
    <col min="11" max="11" width="8.90625" bestFit="1" customWidth="1"/>
    <col min="12" max="12" width="8.6328125" bestFit="1" customWidth="1"/>
    <col min="13" max="13" width="7.90625" bestFit="1" customWidth="1"/>
    <col min="14" max="14" width="8.6328125" bestFit="1" customWidth="1"/>
    <col min="15" max="15" width="11" customWidth="1"/>
    <col min="16" max="16" width="7.90625" bestFit="1" customWidth="1"/>
    <col min="17" max="17" width="7.6328125" bestFit="1" customWidth="1"/>
    <col min="18" max="18" width="8.6328125" bestFit="1" customWidth="1"/>
    <col min="19" max="19" width="7.90625" bestFit="1" customWidth="1"/>
    <col min="20" max="21" width="8.6328125" bestFit="1" customWidth="1"/>
    <col min="22" max="22" width="7.90625" bestFit="1" customWidth="1"/>
    <col min="23" max="23" width="8.6328125" bestFit="1" customWidth="1"/>
    <col min="24" max="24" width="7.6328125" bestFit="1" customWidth="1"/>
    <col min="25" max="25" width="6.6328125" bestFit="1" customWidth="1"/>
    <col min="26" max="26" width="10.08984375" bestFit="1" customWidth="1"/>
    <col min="27" max="27" width="9.54296875" customWidth="1"/>
    <col min="28" max="28" width="7.90625" bestFit="1" customWidth="1"/>
    <col min="29" max="29" width="8" bestFit="1" customWidth="1"/>
    <col min="30" max="30" width="13.1796875" customWidth="1"/>
    <col min="31" max="31" width="7.90625" bestFit="1" customWidth="1"/>
    <col min="32" max="32" width="7" bestFit="1" customWidth="1"/>
    <col min="33" max="33" width="9.5" customWidth="1" bestFit="1"/>
    <col min="34" max="34" width="9.5" customWidth="1" bestFit="1"/>
    <col min="35" max="35" width="9.5" customWidth="1" bestFit="1"/>
    <col min="36" max="36" width="8" bestFit="1" customWidth="1"/>
    <col min="37" max="37" width="10.81640625" bestFit="1" customWidth="1"/>
    <col min="38" max="38" width="8.54296875" bestFit="1" customWidth="1"/>
    <col min="39" max="39" width="10.08984375" bestFit="1" customWidth="1"/>
    <col min="40" max="40" width="9.453125" bestFit="1" customWidth="1"/>
  </cols>
  <sheetData>
    <row r="1" spans="1:37" ht="21" ns3:dyDescent="0.35">
      <c r="A1" s="10"/>
      <c r="B1" s="10"/>
      <c r="C1" s="10"/>
      <c r="D1" s="10"/>
      <c r="E1" s="10"/>
      <c r="F1" s="49" t="s">
        <v>20</v>
      </c>
      <c r="G1" s="50"/>
      <c r="H1" s="49" t="s">
        <v>21</v>
      </c>
      <c r="I1" s="50"/>
      <c r="J1" s="10" t="s">
        <v>63</v>
      </c>
      <c r="K1" s="10"/>
      <c r="L1" s="53" t="s">
        <v>22</v>
      </c>
      <c r="M1" s="54"/>
      <c r="N1" s="55"/>
      <c r="O1" s="56" t="s">
        <v>23</v>
      </c>
      <c r="P1" s="57"/>
      <c r="Q1" s="58"/>
      <c r="R1" s="59" t="s">
        <v>24</v>
      </c>
      <c r="S1" s="60"/>
      <c r="T1" s="61"/>
      <c r="U1" s="62" t="s">
        <v>21</v>
      </c>
      <c r="V1" s="63"/>
      <c r="W1" s="64"/>
      <c r="X1" s="23" t="s">
        <v>34</v>
      </c>
      <c r="Y1" s="24" t="s">
        <v>35</v>
      </c>
      <c r="Z1" s="20" t="s">
        <v>33</v>
      </c>
      <c r="AA1" s="65" t="s">
        <v>25</v>
      </c>
      <c r="AB1" s="66"/>
      <c r="AC1" s="67"/>
      <c r="AD1" s="65" t="s">
        <v>26</v>
      </c>
      <c r="AE1" s="66"/>
      <c r="AF1" s="67"/>
      <c r="AG1" s="65" t="inlineStr">
        <is>
          <t>Payment Gateway Fee @2%</t>
        </is>
      </c>
      <c r="AH1" s="66"/>
      <c r="AI1" s="67"/>
      <c r="AJ1" s="11" t="s">
        <v>27</v>
      </c>
      <c r="AK1" s="51" t="s">
        <v>42</v>
      </c>
      <c r="AL1" s="52"/>
      <c r="AM1" s="52"/>
      <c r="AN1" s="52"/>
    </row>
    <row r="2" spans="1:37" ht="87" customHeight="1" ns3:dyDescent="0.35">
      <c r="A2" s="1" t="s">
        <v>2</v>
      </c>
      <c r="B2" s="2" t="s">
        <v>28</v>
      </c>
      <c r="C2" s="2" t="s">
        <v>45</v>
      </c>
      <c r="D2" s="1" t="s">
        <v>1</v>
      </c>
      <c r="E2" s="1" t="s">
        <v>3</v>
      </c>
      <c r="F2" s="47" t="s">
        <v>18</v>
      </c>
      <c r="G2" s="48"/>
      <c r="H2" s="47" t="s">
        <v>17</v>
      </c>
      <c r="I2" s="48"/>
      <c r="J2" s="2" t="s">
        <v>19</v>
      </c>
      <c r="K2" s="2" t="s">
        <v>4</v>
      </c>
      <c r="L2" s="41" t="s">
        <v>48</v>
      </c>
      <c r="M2" s="42"/>
      <c r="N2" s="43"/>
      <c r="O2" s="41" t="s">
        <v>49</v>
      </c>
      <c r="P2" s="42"/>
      <c r="Q2" s="43"/>
      <c r="R2" s="41" t="s">
        <v>62</v>
      </c>
      <c r="S2" s="42"/>
      <c r="T2" s="43"/>
      <c r="U2" s="41" t="s">
        <v>17</v>
      </c>
      <c r="V2" s="42"/>
      <c r="W2" s="43"/>
      <c r="X2" s="25" t="s">
        <v>50</v>
      </c>
      <c r="Y2" s="26" t="s">
        <v>51</v>
      </c>
      <c r="Z2" s="21" t="s">
        <v>16</v>
      </c>
      <c r="AA2" s="44" t="s">
        <v>30</v>
      </c>
      <c r="AB2" s="45"/>
      <c r="AC2" s="46"/>
      <c r="AD2" s="44" t="s">
        <v>31</v>
      </c>
      <c r="AE2" s="45"/>
      <c r="AF2" s="46"/>
      <c r="AG2" s="44" t="inlineStr">
        <is>
          <t>Payment Gateway Fee @2%</t>
        </is>
      </c>
      <c r="AH2" s="45"/>
      <c r="AI2" s="46"/>
      <c r="AJ2" s="12" t="s">
        <v>32</v>
      </c>
      <c r="AK2" s="14" t="s">
        <v>14</v>
      </c>
      <c r="AL2" s="15" t="s">
        <v>0</v>
      </c>
      <c r="AM2" s="14" t="s">
        <v>36</v>
      </c>
      <c r="AN2" s="14" t="s">
        <v>37</v>
      </c>
    </row>
    <row r="3" spans="1:37" ns3:dyDescent="0.35">
      <c r="A3" s="1"/>
      <c r="B3" s="2"/>
      <c r="C3" s="2"/>
      <c r="D3" s="1"/>
      <c r="E3" s="1"/>
      <c r="F3" s="2" t="s">
        <v>15</v>
      </c>
      <c r="G3" s="2" t="s">
        <v>61</v>
      </c>
      <c r="H3" s="2" t="s">
        <v>15</v>
      </c>
      <c r="I3" s="2" t="s">
        <v>61</v>
      </c>
      <c r="J3" s="2"/>
      <c r="K3" s="2"/>
      <c r="L3" s="3" t="s">
        <v>15</v>
      </c>
      <c r="M3" s="9" t="s">
        <v>61</v>
      </c>
      <c r="N3" s="9" t="s">
        <v>29</v>
      </c>
      <c r="O3" s="3" t="s">
        <v>15</v>
      </c>
      <c r="P3" s="9" t="s">
        <v>61</v>
      </c>
      <c r="Q3" s="9" t="s">
        <v>29</v>
      </c>
      <c r="R3" s="3" t="s">
        <v>15</v>
      </c>
      <c r="S3" s="9" t="s">
        <v>61</v>
      </c>
      <c r="T3" s="9" t="s">
        <v>29</v>
      </c>
      <c r="U3" s="3" t="s">
        <v>15</v>
      </c>
      <c r="V3" s="9" t="s">
        <v>61</v>
      </c>
      <c r="W3" s="9" t="s">
        <v>29</v>
      </c>
      <c r="X3" s="25"/>
      <c r="Y3" s="26"/>
      <c r="Z3" s="21"/>
      <c r="AA3" s="12" t="s">
        <v>15</v>
      </c>
      <c r="AB3" s="12" t="s">
        <v>61</v>
      </c>
      <c r="AC3" s="12" t="s">
        <v>29</v>
      </c>
      <c r="AD3" s="12" t="s">
        <v>15</v>
      </c>
      <c r="AE3" s="12" t="s">
        <v>61</v>
      </c>
      <c r="AF3" s="12" t="s">
        <v>29</v>
      </c>
      <c r="AG3" s="12" t="inlineStr">
        <is>
          <t>Basic</t>
        </is>
      </c>
      <c r="AH3" s="12" t="inlineStr">
        <is>
          <t>GST</t>
        </is>
      </c>
      <c r="AI3" s="12" t="inlineStr">
        <is>
          <t>Total</t>
        </is>
      </c>
      <c r="AJ3" s="12"/>
      <c r="AK3" s="14"/>
      <c r="AL3" s="15"/>
      <c r="AM3" s="14"/>
      <c r="AN3" s="14"/>
    </row>
    <row r="4" spans="1:37" ns3:dyDescent="0.35">
      <c r="A4" s="5" t="s">
        <v>6</v>
      </c>
      <c r="B4" s="6">
        <v>46274</v>
      </c>
      <c r="C4" s="4" t="s">
        <v>8</v>
      </c>
      <c r="D4" s="6" t="s">
        <v>5</v>
      </c>
      <c r="E4" s="5" t="s">
        <v>7</v>
      </c>
      <c r="F4" s="8">
        <v>1213</v>
      </c>
      <c r="G4" s="8">
        <f>F4*18%</f>
        <v>218.34</v>
      </c>
      <c r="H4" s="8">
        <v>90</v>
      </c>
      <c r="I4" s="8">
        <f>H4*18%</f>
        <v>16.2</v>
      </c>
      <c r="J4" s="38">
        <f>SUM(F4:I4)</f>
        <v>1537.54</v>
      </c>
      <c r="K4" s="5" t="s">
        <v>12</v>
      </c>
      <c r="L4" s="8">
        <f t="shared" ref="L4:L13" si="0">F4*5%</f>
        <v>60.650000000000006</v>
      </c>
      <c r="M4" s="8">
        <f t="shared" ref="M4:M13" si="1">L4*18%</f>
        <v>10.917</v>
      </c>
      <c r="N4" s="8">
        <f t="shared" ref="N4:N13" si="2">L4+M4</f>
        <v>71.567000000000007</v>
      </c>
      <c r="O4" s="8">
        <f t="shared" ref="O4:O13" si="3">F4*2%</f>
        <v>24.26</v>
      </c>
      <c r="P4" s="8">
        <f t="shared" ref="P4:P13" si="4">O4*18%</f>
        <v>4.3668000000000005</v>
      </c>
      <c r="Q4" s="8">
        <f t="shared" ref="Q4:Q13" si="5">SUM(O4:P4)</f>
        <v>28.626800000000003</v>
      </c>
      <c r="R4" s="8">
        <f t="shared" ref="R4:R13" si="6">J4*11%</f>
        <v>169.1294</v>
      </c>
      <c r="S4" s="8">
        <f t="shared" ref="S4:S13" si="7">R4*18%</f>
        <v>30.443292</v>
      </c>
      <c r="T4" s="8">
        <f t="shared" ref="T4:T13" si="8">R4+S4</f>
        <v>199.57269200000002</v>
      </c>
      <c r="U4" s="8">
        <f>H4</f>
        <v>90</v>
      </c>
      <c r="V4" s="8">
        <f t="shared" ref="V4:V13" si="9">U4*18%</f>
        <v>16.2</v>
      </c>
      <c r="W4" s="8">
        <f t="shared" ref="W4:W13" si="10">SUM(U4:V4)</f>
        <v>106.2</v>
      </c>
      <c r="X4" s="27">
        <f t="shared" ref="X4:X13" si="11">F4*0.5%</f>
        <v>6.0650000000000004</v>
      </c>
      <c r="Y4" s="27">
        <f t="shared" ref="Y4:Y13" si="12">F4*0.1%</f>
        <v>1.2130000000000001</v>
      </c>
      <c r="Z4" s="22">
        <f t="shared" ref="Z4:Z12" si="13">J4-(N4+Q4+T4+W4+X4+Y4)</f>
        <v>1124.2955079999999</v>
      </c>
      <c r="AA4" s="13">
        <v>0</v>
      </c>
      <c r="AB4" s="13">
        <f t="shared" ref="AB4:AB13" si="14">AA4*18%</f>
        <v>0</v>
      </c>
      <c r="AC4" s="13">
        <f t="shared" ref="AC4:AC13" si="15">SUM(AA4:AB4)</f>
        <v>0</v>
      </c>
      <c r="AD4" s="13">
        <v>0</v>
      </c>
      <c r="AE4" s="13">
        <f t="shared" ref="AE4:AE13" si="16">AD4*18%</f>
        <v>0</v>
      </c>
      <c r="AF4" s="13">
        <f>SUM(AD4:AE4)</f>
        <v>0</v>
      </c>
      <c r="AG4" s="13">
        <v>0</v>
      </c>
      <c r="AH4" s="13">
        <v>0</v>
      </c>
      <c r="AI4" s="13">
        <v>0</v>
      </c>
      <c r="AJ4" s="13">
        <v>0</v>
      </c>
      <c r="AK4" s="16"/>
      <c r="AL4" s="17"/>
      <c r="AM4" s="18">
        <v>0</v>
      </c>
      <c r="AN4" s="19">
        <f>Z4-AC4-AF4-AI4+AJ4</f>
        <v>1124.2955079999999</v>
      </c>
    </row>
    <row r="5" spans="1:37" ns3:dyDescent="0.35">
      <c r="A5" s="5" t="s">
        <v>9</v>
      </c>
      <c r="B5" s="6">
        <v>46275</v>
      </c>
      <c r="C5" s="4" t="s">
        <v>8</v>
      </c>
      <c r="D5" s="6">
        <v>46276</v>
      </c>
      <c r="E5" s="5" t="s">
        <v>10</v>
      </c>
      <c r="F5" s="8">
        <v>2658</v>
      </c>
      <c r="G5" s="8">
        <f t="shared" ref="G5:G19" si="17">F5*18%</f>
        <v>478.44</v>
      </c>
      <c r="H5" s="8">
        <v>190</v>
      </c>
      <c r="I5" s="8">
        <f t="shared" ref="I5:I19" si="18">H5*18%</f>
        <v>34.199999999999996</v>
      </c>
      <c r="J5" s="38">
        <f t="shared" ref="J5:J13" si="19">SUM(F5:I5)</f>
        <v>3360.64</v>
      </c>
      <c r="K5" s="5" t="s">
        <v>12</v>
      </c>
      <c r="L5" s="8">
        <f t="shared" si="0"/>
        <v>132.9</v>
      </c>
      <c r="M5" s="8">
        <f t="shared" si="1"/>
        <v>23.922000000000001</v>
      </c>
      <c r="N5" s="8">
        <f t="shared" si="2"/>
        <v>156.822</v>
      </c>
      <c r="O5" s="8">
        <f t="shared" si="3"/>
        <v>53.160000000000004</v>
      </c>
      <c r="P5" s="8">
        <f t="shared" si="4"/>
        <v>9.5687999999999995</v>
      </c>
      <c r="Q5" s="8">
        <f t="shared" si="5"/>
        <v>62.728800000000007</v>
      </c>
      <c r="R5" s="8">
        <f t="shared" si="6"/>
        <v>369.67039999999997</v>
      </c>
      <c r="S5" s="8">
        <f t="shared" si="7"/>
        <v>66.540671999999986</v>
      </c>
      <c r="T5" s="8">
        <f t="shared" si="8"/>
        <v>436.21107199999994</v>
      </c>
      <c r="U5" s="8">
        <f t="shared" ref="U5:U13" si="20">H5</f>
        <v>190</v>
      </c>
      <c r="V5" s="8">
        <f t="shared" si="9"/>
        <v>34.199999999999996</v>
      </c>
      <c r="W5" s="8">
        <f t="shared" si="10"/>
        <v>224.2</v>
      </c>
      <c r="X5" s="27">
        <f t="shared" si="11"/>
        <v>13.290000000000001</v>
      </c>
      <c r="Y5" s="27">
        <f t="shared" si="12"/>
        <v>2.6579999999999999</v>
      </c>
      <c r="Z5" s="22">
        <f t="shared" si="13"/>
        <v>2464.7301280000001</v>
      </c>
      <c r="AA5" s="13">
        <v>0</v>
      </c>
      <c r="AB5" s="13">
        <f t="shared" si="14"/>
        <v>0</v>
      </c>
      <c r="AC5" s="13">
        <f t="shared" si="15"/>
        <v>0</v>
      </c>
      <c r="AD5" s="13">
        <v>0</v>
      </c>
      <c r="AE5" s="13">
        <f t="shared" si="16"/>
        <v>0</v>
      </c>
      <c r="AF5" s="13">
        <f t="shared" ref="AF5:AF13" si="21">SUM(AD5:AE5)</f>
        <v>0</v>
      </c>
      <c r="AG5" s="13">
        <v>0</v>
      </c>
      <c r="AH5" s="13">
        <v>0</v>
      </c>
      <c r="AI5" s="13">
        <v>0</v>
      </c>
      <c r="AJ5" s="13">
        <v>0</v>
      </c>
      <c r="AK5" s="16"/>
      <c r="AL5" s="17"/>
      <c r="AM5" s="18">
        <v>0</v>
      </c>
      <c r="AN5" s="19">
        <f>AK4+Z5</f>
        <v>3589.0256360000003</v>
      </c>
    </row>
    <row r="6" spans="1:37" ns3:dyDescent="0.35">
      <c r="A6" s="5" t="s">
        <v>38</v>
      </c>
      <c r="B6" s="6">
        <v>46275</v>
      </c>
      <c r="C6" s="4" t="s">
        <v>8</v>
      </c>
      <c r="D6" s="6" t="s">
        <v>5</v>
      </c>
      <c r="E6" s="5" t="s">
        <v>52</v>
      </c>
      <c r="F6" s="8">
        <v>2134</v>
      </c>
      <c r="G6" s="8">
        <f t="shared" si="17"/>
        <v>384.12</v>
      </c>
      <c r="H6" s="8">
        <v>130</v>
      </c>
      <c r="I6" s="8">
        <f t="shared" si="18"/>
        <v>23.4</v>
      </c>
      <c r="J6" s="38">
        <f t="shared" si="19"/>
        <v>2671.52</v>
      </c>
      <c r="K6" s="5" t="s">
        <v>12</v>
      </c>
      <c r="L6" s="8">
        <f t="shared" si="0"/>
        <v>106.7</v>
      </c>
      <c r="M6" s="8">
        <f t="shared" si="1"/>
        <v>19.206</v>
      </c>
      <c r="N6" s="8">
        <f t="shared" si="2"/>
        <v>125.90600000000001</v>
      </c>
      <c r="O6" s="8">
        <f t="shared" si="3"/>
        <v>42.68</v>
      </c>
      <c r="P6" s="8">
        <f t="shared" si="4"/>
        <v>7.6823999999999995</v>
      </c>
      <c r="Q6" s="8">
        <f t="shared" si="5"/>
        <v>50.362400000000001</v>
      </c>
      <c r="R6" s="8">
        <f t="shared" si="6"/>
        <v>293.86720000000003</v>
      </c>
      <c r="S6" s="8">
        <f t="shared" si="7"/>
        <v>52.896096</v>
      </c>
      <c r="T6" s="8">
        <f t="shared" si="8"/>
        <v>346.76329600000003</v>
      </c>
      <c r="U6" s="8">
        <f t="shared" si="20"/>
        <v>130</v>
      </c>
      <c r="V6" s="8">
        <f t="shared" si="9"/>
        <v>23.4</v>
      </c>
      <c r="W6" s="8">
        <f t="shared" si="10"/>
        <v>153.4</v>
      </c>
      <c r="X6" s="27">
        <f t="shared" si="11"/>
        <v>10.67</v>
      </c>
      <c r="Y6" s="27">
        <f t="shared" si="12"/>
        <v>2.1339999999999999</v>
      </c>
      <c r="Z6" s="22">
        <f t="shared" si="13"/>
        <v>1982.284304</v>
      </c>
      <c r="AA6" s="13">
        <v>0</v>
      </c>
      <c r="AB6" s="13">
        <f t="shared" si="14"/>
        <v>0</v>
      </c>
      <c r="AC6" s="13">
        <f t="shared" si="15"/>
        <v>0</v>
      </c>
      <c r="AD6" s="13">
        <v>0</v>
      </c>
      <c r="AE6" s="13">
        <f t="shared" si="16"/>
        <v>0</v>
      </c>
      <c r="AF6" s="13">
        <f t="shared" si="21"/>
        <v>0</v>
      </c>
      <c r="AG6" s="13">
        <v>0</v>
      </c>
      <c r="AH6" s="13">
        <v>0</v>
      </c>
      <c r="AI6" s="13">
        <v>0</v>
      </c>
      <c r="AJ6" s="13">
        <v>0</v>
      </c>
      <c r="AK6" s="16"/>
      <c r="AL6" s="17"/>
      <c r="AM6" s="18">
        <v>0</v>
      </c>
      <c r="AN6" s="19">
        <f t="shared" ref="AK6:AK13" si="22">AK5+Z6</f>
        <v>5571.3099400000001</v>
      </c>
    </row>
    <row r="7" spans="1:37" ns3:dyDescent="0.35">
      <c r="A7" s="5" t="s">
        <v>39</v>
      </c>
      <c r="B7" s="6">
        <v>46275</v>
      </c>
      <c r="C7" s="4" t="s">
        <v>8</v>
      </c>
      <c r="D7" s="6" t="s">
        <v>5</v>
      </c>
      <c r="E7" s="5" t="s">
        <v>53</v>
      </c>
      <c r="F7" s="8">
        <v>2568</v>
      </c>
      <c r="G7" s="8">
        <f t="shared" si="17"/>
        <v>462.24</v>
      </c>
      <c r="H7" s="8">
        <v>110</v>
      </c>
      <c r="I7" s="8">
        <f t="shared" si="18"/>
        <v>19.8</v>
      </c>
      <c r="J7" s="38">
        <f t="shared" si="19"/>
        <v>3160.04</v>
      </c>
      <c r="K7" s="5" t="s">
        <v>40</v>
      </c>
      <c r="L7" s="8">
        <f t="shared" si="0"/>
        <v>128.4</v>
      </c>
      <c r="M7" s="8">
        <f t="shared" si="1"/>
        <v>23.112000000000002</v>
      </c>
      <c r="N7" s="8">
        <f t="shared" si="2"/>
        <v>151.512</v>
      </c>
      <c r="O7" s="8">
        <f t="shared" si="3"/>
        <v>51.36</v>
      </c>
      <c r="P7" s="8">
        <f t="shared" si="4"/>
        <v>9.2447999999999997</v>
      </c>
      <c r="Q7" s="8">
        <f t="shared" si="5"/>
        <v>60.604799999999997</v>
      </c>
      <c r="R7" s="8">
        <f t="shared" si="6"/>
        <v>347.6044</v>
      </c>
      <c r="S7" s="8">
        <f t="shared" si="7"/>
        <v>62.568791999999995</v>
      </c>
      <c r="T7" s="8">
        <f t="shared" si="8"/>
        <v>410.17319199999997</v>
      </c>
      <c r="U7" s="8">
        <f t="shared" si="20"/>
        <v>110</v>
      </c>
      <c r="V7" s="8">
        <f t="shared" si="9"/>
        <v>19.8</v>
      </c>
      <c r="W7" s="8">
        <f t="shared" si="10"/>
        <v>129.80000000000001</v>
      </c>
      <c r="X7" s="27">
        <f t="shared" si="11"/>
        <v>12.84</v>
      </c>
      <c r="Y7" s="27">
        <f t="shared" si="12"/>
        <v>2.5680000000000001</v>
      </c>
      <c r="Z7" s="22">
        <f t="shared" si="13"/>
        <v>2392.5420079999999</v>
      </c>
      <c r="AA7" s="13">
        <v>0</v>
      </c>
      <c r="AB7" s="13">
        <f t="shared" si="14"/>
        <v>0</v>
      </c>
      <c r="AC7" s="13">
        <f t="shared" si="15"/>
        <v>0</v>
      </c>
      <c r="AD7" s="13">
        <v>0</v>
      </c>
      <c r="AE7" s="13">
        <f t="shared" si="16"/>
        <v>0</v>
      </c>
      <c r="AF7" s="13">
        <f t="shared" si="21"/>
        <v>0</v>
      </c>
      <c r="AG7" s="13">
        <v>0</v>
      </c>
      <c r="AH7" s="13">
        <v>0</v>
      </c>
      <c r="AI7" s="13">
        <v>0</v>
      </c>
      <c r="AJ7" s="13">
        <v>0</v>
      </c>
      <c r="AK7" s="16"/>
      <c r="AL7" s="17"/>
      <c r="AM7" s="18">
        <v>0</v>
      </c>
      <c r="AN7" s="19">
        <f t="shared" si="22"/>
        <v>7963.8519479999995</v>
      </c>
    </row>
    <row r="8" spans="1:37" ns3:dyDescent="0.35">
      <c r="A8" s="5" t="s">
        <v>9</v>
      </c>
      <c r="B8" s="6">
        <v>46275</v>
      </c>
      <c r="C8" s="4" t="s">
        <v>11</v>
      </c>
      <c r="D8" s="6">
        <v>46276</v>
      </c>
      <c r="E8" s="5" t="s">
        <v>10</v>
      </c>
      <c r="F8" s="8">
        <v>-2658</v>
      </c>
      <c r="G8" s="8">
        <f t="shared" si="17"/>
        <v>-478.44</v>
      </c>
      <c r="H8" s="8">
        <v>-190</v>
      </c>
      <c r="I8" s="8">
        <f t="shared" si="18"/>
        <v>-34.199999999999996</v>
      </c>
      <c r="J8" s="38">
        <f t="shared" si="19"/>
        <v>-3360.64</v>
      </c>
      <c r="K8" s="5" t="s">
        <v>40</v>
      </c>
      <c r="L8" s="8">
        <f t="shared" si="0"/>
        <v>-132.9</v>
      </c>
      <c r="M8" s="8">
        <f t="shared" si="1"/>
        <v>-23.922000000000001</v>
      </c>
      <c r="N8" s="8">
        <f t="shared" si="2"/>
        <v>-156.822</v>
      </c>
      <c r="O8" s="8">
        <f t="shared" si="3"/>
        <v>-53.160000000000004</v>
      </c>
      <c r="P8" s="8">
        <f t="shared" si="4"/>
        <v>-9.5687999999999995</v>
      </c>
      <c r="Q8" s="8">
        <f t="shared" si="5"/>
        <v>-62.728800000000007</v>
      </c>
      <c r="R8" s="8">
        <f t="shared" si="6"/>
        <v>-369.67039999999997</v>
      </c>
      <c r="S8" s="8">
        <f t="shared" si="7"/>
        <v>-66.540671999999986</v>
      </c>
      <c r="T8" s="8">
        <f t="shared" si="8"/>
        <v>-436.21107199999994</v>
      </c>
      <c r="U8" s="8">
        <f t="shared" si="20"/>
        <v>-190</v>
      </c>
      <c r="V8" s="8">
        <f t="shared" si="9"/>
        <v>-34.199999999999996</v>
      </c>
      <c r="W8" s="8">
        <f t="shared" si="10"/>
        <v>-224.2</v>
      </c>
      <c r="X8" s="27">
        <f t="shared" si="11"/>
        <v>-13.290000000000001</v>
      </c>
      <c r="Y8" s="27">
        <f t="shared" si="12"/>
        <v>-2.6579999999999999</v>
      </c>
      <c r="Z8" s="22">
        <f t="shared" si="13"/>
        <v>-2464.7301280000001</v>
      </c>
      <c r="AA8" s="13">
        <v>0</v>
      </c>
      <c r="AB8" s="13">
        <f t="shared" si="14"/>
        <v>0</v>
      </c>
      <c r="AC8" s="13">
        <f t="shared" si="15"/>
        <v>0</v>
      </c>
      <c r="AD8" s="13">
        <v>0</v>
      </c>
      <c r="AE8" s="13">
        <f t="shared" si="16"/>
        <v>0</v>
      </c>
      <c r="AF8" s="13">
        <f t="shared" si="21"/>
        <v>0</v>
      </c>
      <c r="AG8" s="13">
        <v>0</v>
      </c>
      <c r="AH8" s="13">
        <v>0</v>
      </c>
      <c r="AI8" s="13">
        <v>0</v>
      </c>
      <c r="AJ8" s="13">
        <v>0</v>
      </c>
      <c r="AK8" s="16"/>
      <c r="AL8" s="17"/>
      <c r="AM8" s="18">
        <v>0</v>
      </c>
      <c r="AN8" s="19">
        <f t="shared" si="22"/>
        <v>5499.1218199999994</v>
      </c>
    </row>
    <row r="9" spans="1:37" ns3:dyDescent="0.35">
      <c r="A9" s="5" t="s">
        <v>6</v>
      </c>
      <c r="B9" s="6">
        <v>46274</v>
      </c>
      <c r="C9" s="4" t="s">
        <v>41</v>
      </c>
      <c r="D9" s="6" t="s">
        <v>5</v>
      </c>
      <c r="E9" s="5" t="s">
        <v>7</v>
      </c>
      <c r="F9" s="8">
        <v>0</v>
      </c>
      <c r="G9" s="8">
        <f t="shared" si="17"/>
        <v>0</v>
      </c>
      <c r="H9" s="8">
        <v>0</v>
      </c>
      <c r="I9" s="8">
        <f t="shared" si="18"/>
        <v>0</v>
      </c>
      <c r="J9" s="38">
        <f t="shared" si="19"/>
        <v>0</v>
      </c>
      <c r="K9" s="5" t="s">
        <v>12</v>
      </c>
      <c r="L9" s="8">
        <f t="shared" si="0"/>
        <v>0</v>
      </c>
      <c r="M9" s="8">
        <f t="shared" si="1"/>
        <v>0</v>
      </c>
      <c r="N9" s="8">
        <f t="shared" si="2"/>
        <v>0</v>
      </c>
      <c r="O9" s="8">
        <f t="shared" si="3"/>
        <v>0</v>
      </c>
      <c r="P9" s="8">
        <f t="shared" si="4"/>
        <v>0</v>
      </c>
      <c r="Q9" s="8">
        <f t="shared" si="5"/>
        <v>0</v>
      </c>
      <c r="R9" s="8">
        <f t="shared" si="6"/>
        <v>0</v>
      </c>
      <c r="S9" s="8">
        <f t="shared" si="7"/>
        <v>0</v>
      </c>
      <c r="T9" s="8">
        <f t="shared" si="8"/>
        <v>0</v>
      </c>
      <c r="U9" s="8">
        <f t="shared" si="20"/>
        <v>0</v>
      </c>
      <c r="V9" s="8">
        <f t="shared" si="9"/>
        <v>0</v>
      </c>
      <c r="W9" s="8">
        <f t="shared" si="10"/>
        <v>0</v>
      </c>
      <c r="X9" s="27">
        <f t="shared" si="11"/>
        <v>0</v>
      </c>
      <c r="Y9" s="27">
        <f t="shared" si="12"/>
        <v>0</v>
      </c>
      <c r="Z9" s="22">
        <f t="shared" si="13"/>
        <v>0</v>
      </c>
      <c r="AA9" s="13">
        <v>0</v>
      </c>
      <c r="AB9" s="13">
        <f t="shared" si="14"/>
        <v>0</v>
      </c>
      <c r="AC9" s="13">
        <f t="shared" si="15"/>
        <v>0</v>
      </c>
      <c r="AD9" s="13">
        <v>0</v>
      </c>
      <c r="AE9" s="13">
        <f t="shared" si="16"/>
        <v>0</v>
      </c>
      <c r="AF9" s="13">
        <f t="shared" si="21"/>
        <v>0</v>
      </c>
      <c r="AG9" s="13">
        <v>0</v>
      </c>
      <c r="AH9" s="13">
        <v>0</v>
      </c>
      <c r="AI9" s="13">
        <v>0</v>
      </c>
      <c r="AJ9" s="13">
        <v>0</v>
      </c>
      <c r="AK9" s="16"/>
      <c r="AL9" s="17"/>
      <c r="AM9" s="18">
        <f>-Z4</f>
        <v>-1124.2955079999999</v>
      </c>
      <c r="AN9" s="19">
        <f>AK8+AJ9</f>
        <v>4374.8263119999992</v>
      </c>
    </row>
    <row r="10" spans="1:37" ns3:dyDescent="0.35">
      <c r="A10" s="5" t="s">
        <v>43</v>
      </c>
      <c r="B10" s="6">
        <v>46276</v>
      </c>
      <c r="C10" s="4" t="s">
        <v>8</v>
      </c>
      <c r="D10" s="6">
        <v>46280</v>
      </c>
      <c r="E10" s="5" t="s">
        <v>54</v>
      </c>
      <c r="F10" s="8">
        <v>2368</v>
      </c>
      <c r="G10" s="8">
        <f t="shared" si="17"/>
        <v>426.24</v>
      </c>
      <c r="H10" s="8">
        <v>130</v>
      </c>
      <c r="I10" s="8">
        <f t="shared" si="18"/>
        <v>23.4</v>
      </c>
      <c r="J10" s="38">
        <f t="shared" si="19"/>
        <v>2947.64</v>
      </c>
      <c r="K10" s="5" t="s">
        <v>40</v>
      </c>
      <c r="L10" s="8">
        <f t="shared" si="0"/>
        <v>118.4</v>
      </c>
      <c r="M10" s="8">
        <f t="shared" si="1"/>
        <v>21.312000000000001</v>
      </c>
      <c r="N10" s="8">
        <f t="shared" si="2"/>
        <v>139.71200000000002</v>
      </c>
      <c r="O10" s="8">
        <f t="shared" si="3"/>
        <v>47.36</v>
      </c>
      <c r="P10" s="8">
        <f t="shared" si="4"/>
        <v>8.524799999999999</v>
      </c>
      <c r="Q10" s="8">
        <f t="shared" si="5"/>
        <v>55.884799999999998</v>
      </c>
      <c r="R10" s="8">
        <f t="shared" si="6"/>
        <v>324.24039999999997</v>
      </c>
      <c r="S10" s="8">
        <f t="shared" si="7"/>
        <v>58.363271999999995</v>
      </c>
      <c r="T10" s="8">
        <f t="shared" si="8"/>
        <v>382.60367199999996</v>
      </c>
      <c r="U10" s="8">
        <f t="shared" si="20"/>
        <v>130</v>
      </c>
      <c r="V10" s="8">
        <f t="shared" si="9"/>
        <v>23.4</v>
      </c>
      <c r="W10" s="8">
        <f t="shared" si="10"/>
        <v>153.4</v>
      </c>
      <c r="X10" s="27">
        <f t="shared" si="11"/>
        <v>11.84</v>
      </c>
      <c r="Y10" s="27">
        <f t="shared" si="12"/>
        <v>2.3679999999999999</v>
      </c>
      <c r="Z10" s="22">
        <f t="shared" si="13"/>
        <v>2201.8315279999997</v>
      </c>
      <c r="AA10" s="13">
        <v>0</v>
      </c>
      <c r="AB10" s="13">
        <f t="shared" si="14"/>
        <v>0</v>
      </c>
      <c r="AC10" s="13">
        <f t="shared" si="15"/>
        <v>0</v>
      </c>
      <c r="AD10" s="13">
        <v>0</v>
      </c>
      <c r="AE10" s="13">
        <f t="shared" si="16"/>
        <v>0</v>
      </c>
      <c r="AF10" s="13">
        <f t="shared" si="21"/>
        <v>0</v>
      </c>
      <c r="AG10" s="13">
        <v>0</v>
      </c>
      <c r="AH10" s="13">
        <v>0</v>
      </c>
      <c r="AI10" s="13">
        <v>0</v>
      </c>
      <c r="AJ10" s="13">
        <v>0</v>
      </c>
      <c r="AK10" s="16"/>
      <c r="AL10" s="17"/>
      <c r="AM10" s="18">
        <v>0</v>
      </c>
      <c r="AN10" s="19">
        <f t="shared" si="22"/>
        <v>6576.6578399999989</v>
      </c>
    </row>
    <row r="11" spans="1:37" ns3:dyDescent="0.35">
      <c r="A11" s="5" t="s">
        <v>44</v>
      </c>
      <c r="B11" s="6">
        <v>46278</v>
      </c>
      <c r="C11" s="4" t="s">
        <v>8</v>
      </c>
      <c r="D11" s="6">
        <v>46280</v>
      </c>
      <c r="E11" s="5" t="s">
        <v>55</v>
      </c>
      <c r="F11" s="8">
        <v>2268</v>
      </c>
      <c r="G11" s="8">
        <f t="shared" si="17"/>
        <v>408.24</v>
      </c>
      <c r="H11" s="8">
        <v>105</v>
      </c>
      <c r="I11" s="8">
        <f t="shared" si="18"/>
        <v>18.899999999999999</v>
      </c>
      <c r="J11" s="38">
        <f t="shared" si="19"/>
        <v>2800.14</v>
      </c>
      <c r="K11" s="5" t="s">
        <v>40</v>
      </c>
      <c r="L11" s="8">
        <f t="shared" si="0"/>
        <v>113.4</v>
      </c>
      <c r="M11" s="8">
        <f t="shared" si="1"/>
        <v>20.411999999999999</v>
      </c>
      <c r="N11" s="8">
        <f t="shared" si="2"/>
        <v>133.81200000000001</v>
      </c>
      <c r="O11" s="8">
        <f t="shared" si="3"/>
        <v>45.36</v>
      </c>
      <c r="P11" s="8">
        <f t="shared" si="4"/>
        <v>8.1647999999999996</v>
      </c>
      <c r="Q11" s="8">
        <f t="shared" si="5"/>
        <v>53.524799999999999</v>
      </c>
      <c r="R11" s="8">
        <f t="shared" si="6"/>
        <v>308.0154</v>
      </c>
      <c r="S11" s="8">
        <f t="shared" si="7"/>
        <v>55.442771999999998</v>
      </c>
      <c r="T11" s="8">
        <f t="shared" si="8"/>
        <v>363.45817199999999</v>
      </c>
      <c r="U11" s="8">
        <f t="shared" si="20"/>
        <v>105</v>
      </c>
      <c r="V11" s="8">
        <f t="shared" si="9"/>
        <v>18.899999999999999</v>
      </c>
      <c r="W11" s="8">
        <f t="shared" si="10"/>
        <v>123.9</v>
      </c>
      <c r="X11" s="27">
        <f t="shared" si="11"/>
        <v>11.34</v>
      </c>
      <c r="Y11" s="27">
        <f t="shared" si="12"/>
        <v>2.2680000000000002</v>
      </c>
      <c r="Z11" s="22">
        <f t="shared" si="13"/>
        <v>2111.8370279999999</v>
      </c>
      <c r="AA11" s="13">
        <v>0</v>
      </c>
      <c r="AB11" s="13">
        <f t="shared" si="14"/>
        <v>0</v>
      </c>
      <c r="AC11" s="13">
        <f t="shared" si="15"/>
        <v>0</v>
      </c>
      <c r="AD11" s="13">
        <v>0</v>
      </c>
      <c r="AE11" s="13">
        <f t="shared" si="16"/>
        <v>0</v>
      </c>
      <c r="AF11" s="13">
        <f t="shared" si="21"/>
        <v>0</v>
      </c>
      <c r="AG11" s="13">
        <v>0</v>
      </c>
      <c r="AH11" s="13">
        <v>0</v>
      </c>
      <c r="AI11" s="13">
        <v>0</v>
      </c>
      <c r="AJ11" s="13">
        <v>0</v>
      </c>
      <c r="AK11" s="16"/>
      <c r="AL11" s="17"/>
      <c r="AM11" s="18">
        <v>0</v>
      </c>
      <c r="AN11" s="19">
        <f t="shared" si="22"/>
        <v>8688.494867999998</v>
      </c>
    </row>
    <row r="12" spans="1:37" ns3:dyDescent="0.35">
      <c r="A12" s="28" t="s">
        <v>38</v>
      </c>
      <c r="B12" s="6">
        <v>46275</v>
      </c>
      <c r="C12" s="29" t="s">
        <v>11</v>
      </c>
      <c r="D12" s="6" t="s">
        <v>5</v>
      </c>
      <c r="E12" s="28" t="s">
        <v>52</v>
      </c>
      <c r="F12" s="30">
        <v>-2134</v>
      </c>
      <c r="G12" s="8">
        <f t="shared" si="17"/>
        <v>-384.12</v>
      </c>
      <c r="H12" s="30">
        <v>-130</v>
      </c>
      <c r="I12" s="8">
        <f t="shared" si="18"/>
        <v>-23.4</v>
      </c>
      <c r="J12" s="39">
        <f t="shared" si="19"/>
        <v>-2671.52</v>
      </c>
      <c r="K12" s="28" t="s">
        <v>12</v>
      </c>
      <c r="L12" s="30">
        <f t="shared" si="0"/>
        <v>-106.7</v>
      </c>
      <c r="M12" s="30">
        <f t="shared" si="1"/>
        <v>-19.206</v>
      </c>
      <c r="N12" s="30">
        <f t="shared" si="2"/>
        <v>-125.90600000000001</v>
      </c>
      <c r="O12" s="30">
        <f t="shared" si="3"/>
        <v>-42.68</v>
      </c>
      <c r="P12" s="30">
        <f t="shared" si="4"/>
        <v>-7.6823999999999995</v>
      </c>
      <c r="Q12" s="30">
        <f t="shared" si="5"/>
        <v>-50.362400000000001</v>
      </c>
      <c r="R12" s="30">
        <f t="shared" si="6"/>
        <v>-293.86720000000003</v>
      </c>
      <c r="S12" s="30">
        <f t="shared" si="7"/>
        <v>-52.896096</v>
      </c>
      <c r="T12" s="30">
        <f t="shared" si="8"/>
        <v>-346.76329600000003</v>
      </c>
      <c r="U12" s="30">
        <f t="shared" si="20"/>
        <v>-130</v>
      </c>
      <c r="V12" s="30">
        <f t="shared" si="9"/>
        <v>-23.4</v>
      </c>
      <c r="W12" s="30">
        <f t="shared" si="10"/>
        <v>-153.4</v>
      </c>
      <c r="X12" s="31">
        <f t="shared" si="11"/>
        <v>-10.67</v>
      </c>
      <c r="Y12" s="31">
        <f t="shared" si="12"/>
        <v>-2.1339999999999999</v>
      </c>
      <c r="Z12" s="32">
        <f t="shared" si="13"/>
        <v>-1982.284304</v>
      </c>
      <c r="AA12" s="33">
        <v>75</v>
      </c>
      <c r="AB12" s="33">
        <f t="shared" si="14"/>
        <v>13.5</v>
      </c>
      <c r="AC12" s="33">
        <f t="shared" si="15"/>
        <v>88.5</v>
      </c>
      <c r="AD12" s="33">
        <v>20</v>
      </c>
      <c r="AE12" s="33">
        <f t="shared" si="16"/>
        <v>3.5999999999999996</v>
      </c>
      <c r="AF12" s="33">
        <f t="shared" si="21"/>
        <v>23.6</v>
      </c>
      <c r="AG12" s="13">
        <v>0</v>
      </c>
      <c r="AH12" s="13">
        <v>0</v>
      </c>
      <c r="AI12" s="13">
        <v>0</v>
      </c>
      <c r="AJ12" s="33">
        <v>0</v>
      </c>
      <c r="AK12" s="34"/>
      <c r="AL12" s="35"/>
      <c r="AM12" s="36">
        <v>0</v>
      </c>
      <c r="AN12" s="37">
        <f t="shared" si="22"/>
        <v>6706.2105639999982</v>
      </c>
    </row>
    <row r="13" spans="1:37" ht="15.5" ns3:dyDescent="0.35">
      <c r="A13" s="5" t="s">
        <v>9</v>
      </c>
      <c r="B13" s="6">
        <v>46275</v>
      </c>
      <c r="C13" s="4" t="s">
        <v>46</v>
      </c>
      <c r="D13" s="6">
        <v>46276</v>
      </c>
      <c r="E13" s="5" t="s">
        <v>10</v>
      </c>
      <c r="F13" s="8">
        <v>0</v>
      </c>
      <c r="G13" s="8">
        <f t="shared" si="17"/>
        <v>0</v>
      </c>
      <c r="H13" s="8">
        <v>0</v>
      </c>
      <c r="I13" s="8">
        <f t="shared" si="18"/>
        <v>0</v>
      </c>
      <c r="J13" s="38">
        <f t="shared" si="19"/>
        <v>0</v>
      </c>
      <c r="K13" s="7" t="s">
        <v>13</v>
      </c>
      <c r="L13" s="8">
        <f t="shared" si="0"/>
        <v>0</v>
      </c>
      <c r="M13" s="8">
        <f t="shared" si="1"/>
        <v>0</v>
      </c>
      <c r="N13" s="8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 t="shared" si="7"/>
        <v>0</v>
      </c>
      <c r="T13" s="8">
        <f t="shared" si="8"/>
        <v>0</v>
      </c>
      <c r="U13" s="8">
        <f t="shared" si="20"/>
        <v>0</v>
      </c>
      <c r="V13" s="8">
        <f t="shared" si="9"/>
        <v>0</v>
      </c>
      <c r="W13" s="8">
        <f t="shared" si="10"/>
        <v>0</v>
      </c>
      <c r="X13" s="27">
        <f t="shared" si="11"/>
        <v>0</v>
      </c>
      <c r="Y13" s="27">
        <f t="shared" si="12"/>
        <v>0</v>
      </c>
      <c r="Z13" s="22">
        <v>180</v>
      </c>
      <c r="AA13" s="13">
        <v>0</v>
      </c>
      <c r="AB13" s="13">
        <f t="shared" si="14"/>
        <v>0</v>
      </c>
      <c r="AC13" s="13">
        <f t="shared" si="15"/>
        <v>0</v>
      </c>
      <c r="AD13" s="13">
        <v>0</v>
      </c>
      <c r="AE13" s="13">
        <f t="shared" si="16"/>
        <v>0</v>
      </c>
      <c r="AF13" s="13">
        <f t="shared" si="21"/>
        <v>0</v>
      </c>
      <c r="AG13" s="13">
        <v>0</v>
      </c>
      <c r="AH13" s="13">
        <v>0</v>
      </c>
      <c r="AI13" s="13">
        <v>0</v>
      </c>
      <c r="AJ13" s="13">
        <v>180</v>
      </c>
      <c r="AK13" s="16"/>
      <c r="AL13" s="17"/>
      <c r="AM13" s="18">
        <v>0</v>
      </c>
      <c r="AN13" s="19">
        <f t="shared" si="22"/>
        <v>6886.2105639999982</v>
      </c>
    </row>
    <row r="14" spans="1:37" ns3:dyDescent="0.35">
      <c r="A14" s="5" t="s">
        <v>44</v>
      </c>
      <c r="B14" s="6">
        <v>46278</v>
      </c>
      <c r="C14" s="4" t="s">
        <v>47</v>
      </c>
      <c r="D14" s="6">
        <v>46280</v>
      </c>
      <c r="E14" s="5" t="s">
        <v>55</v>
      </c>
      <c r="F14" s="8">
        <v>2268</v>
      </c>
      <c r="G14" s="8">
        <f t="shared" si="17"/>
        <v>408.24</v>
      </c>
      <c r="H14" s="5">
        <v>105</v>
      </c>
      <c r="I14" s="8">
        <f t="shared" si="18"/>
        <v>18.899999999999999</v>
      </c>
      <c r="J14" s="38">
        <v>2800.14</v>
      </c>
      <c r="K14" s="40" t="s">
        <v>56</v>
      </c>
      <c r="L14" s="8">
        <f>F14*-5%</f>
        <v>-113.4</v>
      </c>
      <c r="M14" s="8">
        <f t="shared" ref="M14:M15" si="23">L14*18%</f>
        <v>-20.411999999999999</v>
      </c>
      <c r="N14" s="8">
        <f t="shared" ref="N14:N15" si="24">L14+M14</f>
        <v>-133.81200000000001</v>
      </c>
      <c r="O14" s="8">
        <f>F14*-2%</f>
        <v>-45.36</v>
      </c>
      <c r="P14" s="8">
        <f t="shared" ref="P14:P15" si="25">O14*18%</f>
        <v>-8.1647999999999996</v>
      </c>
      <c r="Q14" s="8">
        <f t="shared" ref="Q14:Q15" si="26">SUM(O14:P14)</f>
        <v>-53.524799999999999</v>
      </c>
      <c r="R14" s="8">
        <f>J14*-11%</f>
        <v>-308.0154</v>
      </c>
      <c r="S14" s="8">
        <f t="shared" ref="S14:S15" si="27">R14*18%</f>
        <v>-55.442771999999998</v>
      </c>
      <c r="T14" s="8">
        <f t="shared" ref="T14:T15" si="28">R14+S14</f>
        <v>-363.45817199999999</v>
      </c>
      <c r="U14" s="8">
        <f>-H14</f>
        <v>-105</v>
      </c>
      <c r="V14" s="8">
        <f t="shared" ref="V14:V15" si="29">U14*18%</f>
        <v>-18.899999999999999</v>
      </c>
      <c r="W14" s="8">
        <f t="shared" ref="W14:W15" si="30">SUM(U14:V14)</f>
        <v>-123.9</v>
      </c>
      <c r="X14" s="27">
        <f>F14*-0.5%</f>
        <v>-11.34</v>
      </c>
      <c r="Y14" s="27">
        <f>F14*-0.1%</f>
        <v>-2.2680000000000002</v>
      </c>
      <c r="Z14" s="22">
        <f>-J14-(N14+Q14+T14+W14+X14+Y14)</f>
        <v>-2111.8370279999999</v>
      </c>
      <c r="AA14" s="13">
        <v>100</v>
      </c>
      <c r="AB14" s="13">
        <f t="shared" ref="AB14:AB15" si="31">AA14*18%</f>
        <v>18</v>
      </c>
      <c r="AC14" s="13">
        <f t="shared" ref="AC14:AC15" si="32">SUM(AA14:AB14)</f>
        <v>118</v>
      </c>
      <c r="AD14" s="13">
        <v>0</v>
      </c>
      <c r="AE14" s="13">
        <f t="shared" ref="AE14:AE15" si="33">AD14*18%</f>
        <v>0</v>
      </c>
      <c r="AF14" s="13">
        <f t="shared" ref="AF14:AF15" si="34">SUM(AD14:AE14)</f>
        <v>0</v>
      </c>
      <c r="AG14" s="13">
        <v>0</v>
      </c>
      <c r="AH14" s="13">
        <v>0</v>
      </c>
      <c r="AI14" s="13">
        <v>0</v>
      </c>
      <c r="AJ14" s="13">
        <v>0</v>
      </c>
      <c r="AK14" s="16"/>
      <c r="AL14" s="17"/>
      <c r="AM14" s="18">
        <v>0</v>
      </c>
      <c r="AN14" s="19">
        <f t="shared" ref="AK14" si="35">AK13+Z14</f>
        <v>4774.3735359999982</v>
      </c>
    </row>
    <row r="15" spans="1:37" ns3:dyDescent="0.35">
      <c r="A15" s="5" t="s">
        <v>43</v>
      </c>
      <c r="B15" s="6">
        <v>46276</v>
      </c>
      <c r="C15" s="4" t="s">
        <v>41</v>
      </c>
      <c r="D15" s="6">
        <v>46280</v>
      </c>
      <c r="E15" s="5" t="s">
        <v>54</v>
      </c>
      <c r="F15" s="8">
        <v>0</v>
      </c>
      <c r="G15" s="8">
        <f t="shared" si="17"/>
        <v>0</v>
      </c>
      <c r="H15" s="8">
        <v>0</v>
      </c>
      <c r="I15" s="8">
        <f t="shared" si="18"/>
        <v>0</v>
      </c>
      <c r="J15" s="38">
        <f t="shared" ref="J15" si="36">SUM(F15:I15)</f>
        <v>0</v>
      </c>
      <c r="K15" s="5" t="s">
        <v>12</v>
      </c>
      <c r="L15" s="8">
        <f t="shared" ref="L15" si="37">F15*5%</f>
        <v>0</v>
      </c>
      <c r="M15" s="8">
        <f t="shared" si="23"/>
        <v>0</v>
      </c>
      <c r="N15" s="8">
        <f t="shared" si="24"/>
        <v>0</v>
      </c>
      <c r="O15" s="8">
        <f t="shared" ref="O15" si="38">F15*2%</f>
        <v>0</v>
      </c>
      <c r="P15" s="8">
        <f t="shared" si="25"/>
        <v>0</v>
      </c>
      <c r="Q15" s="8">
        <f t="shared" si="26"/>
        <v>0</v>
      </c>
      <c r="R15" s="8">
        <f t="shared" ref="R15" si="39">J15*11%</f>
        <v>0</v>
      </c>
      <c r="S15" s="8">
        <f t="shared" si="27"/>
        <v>0</v>
      </c>
      <c r="T15" s="8">
        <f t="shared" si="28"/>
        <v>0</v>
      </c>
      <c r="U15" s="8">
        <f t="shared" ref="U15" si="40">H15</f>
        <v>0</v>
      </c>
      <c r="V15" s="8">
        <f t="shared" si="29"/>
        <v>0</v>
      </c>
      <c r="W15" s="8">
        <f t="shared" si="30"/>
        <v>0</v>
      </c>
      <c r="X15" s="27">
        <f t="shared" ref="X15" si="41">F15*0.5%</f>
        <v>0</v>
      </c>
      <c r="Y15" s="27">
        <f t="shared" ref="Y15" si="42">F15*0.1%</f>
        <v>0</v>
      </c>
      <c r="Z15" s="22">
        <f t="shared" ref="Z15:Z17" si="43">J15-(N15+Q15+T15+W15+X15+Y15)</f>
        <v>0</v>
      </c>
      <c r="AA15" s="13">
        <v>0</v>
      </c>
      <c r="AB15" s="13">
        <f t="shared" si="31"/>
        <v>0</v>
      </c>
      <c r="AC15" s="13">
        <f t="shared" si="32"/>
        <v>0</v>
      </c>
      <c r="AD15" s="13">
        <v>0</v>
      </c>
      <c r="AE15" s="13">
        <f t="shared" si="33"/>
        <v>0</v>
      </c>
      <c r="AF15" s="13">
        <f t="shared" si="34"/>
        <v>0</v>
      </c>
      <c r="AG15" s="13">
        <v>0</v>
      </c>
      <c r="AH15" s="13">
        <v>0</v>
      </c>
      <c r="AI15" s="13">
        <v>0</v>
      </c>
      <c r="AJ15" s="13">
        <v>0</v>
      </c>
      <c r="AK15" s="16"/>
      <c r="AL15" s="17"/>
      <c r="AM15" s="19">
        <v>-2201.8315280000002</v>
      </c>
      <c r="AN15" s="19">
        <f>AK14+AJ15</f>
        <v>2572.5420079999981</v>
      </c>
    </row>
    <row r="16" spans="1:37" ns3:dyDescent="0.35">
      <c r="A16" s="5" t="s">
        <v>9</v>
      </c>
      <c r="B16" s="6">
        <v>46276</v>
      </c>
      <c r="C16" s="4" t="s">
        <v>41</v>
      </c>
      <c r="D16" s="6">
        <v>46276</v>
      </c>
      <c r="E16" s="5" t="s">
        <v>10</v>
      </c>
      <c r="F16" s="8">
        <v>0</v>
      </c>
      <c r="G16" s="8">
        <f t="shared" si="17"/>
        <v>0</v>
      </c>
      <c r="H16" s="8">
        <v>0</v>
      </c>
      <c r="I16" s="8">
        <f t="shared" si="18"/>
        <v>0</v>
      </c>
      <c r="J16" s="38">
        <f t="shared" ref="J16:J17" si="44">SUM(F16:I16)</f>
        <v>0</v>
      </c>
      <c r="K16" s="5" t="s">
        <v>12</v>
      </c>
      <c r="L16" s="8">
        <f t="shared" ref="L16:L19" si="45">F16*5%</f>
        <v>0</v>
      </c>
      <c r="M16" s="8">
        <f t="shared" ref="M16:M19" si="46">L16*18%</f>
        <v>0</v>
      </c>
      <c r="N16" s="8">
        <f t="shared" ref="N16:N19" si="47">L16+M16</f>
        <v>0</v>
      </c>
      <c r="O16" s="8">
        <f t="shared" ref="O16:O19" si="48">F16*2%</f>
        <v>0</v>
      </c>
      <c r="P16" s="8">
        <f t="shared" ref="P16:P19" si="49">O16*18%</f>
        <v>0</v>
      </c>
      <c r="Q16" s="8">
        <f t="shared" ref="Q16:Q19" si="50">SUM(O16:P16)</f>
        <v>0</v>
      </c>
      <c r="R16" s="8">
        <f t="shared" ref="R16:R19" si="51">J16*11%</f>
        <v>0</v>
      </c>
      <c r="S16" s="8">
        <f t="shared" ref="S16" si="52">R16*18%</f>
        <v>0</v>
      </c>
      <c r="T16" s="8">
        <f t="shared" ref="T16" si="53">R16+S16</f>
        <v>0</v>
      </c>
      <c r="U16" s="8">
        <f t="shared" ref="U16:U19" si="54">H16</f>
        <v>0</v>
      </c>
      <c r="V16" s="8">
        <f t="shared" ref="V16:V19" si="55">U16*18%</f>
        <v>0</v>
      </c>
      <c r="W16" s="8">
        <f t="shared" ref="W16:W19" si="56">SUM(U16:V16)</f>
        <v>0</v>
      </c>
      <c r="X16" s="27">
        <f t="shared" ref="X16:X19" si="57">F16*0.5%</f>
        <v>0</v>
      </c>
      <c r="Y16" s="27">
        <f t="shared" ref="Y16:Y19" si="58">F16*0.1%</f>
        <v>0</v>
      </c>
      <c r="Z16" s="22">
        <f t="shared" si="43"/>
        <v>0</v>
      </c>
      <c r="AA16" s="13">
        <v>0</v>
      </c>
      <c r="AB16" s="13">
        <f t="shared" ref="AB16" si="59">AA16*18%</f>
        <v>0</v>
      </c>
      <c r="AC16" s="13">
        <f t="shared" ref="AC16" si="60">SUM(AA16:AB16)</f>
        <v>0</v>
      </c>
      <c r="AD16" s="13">
        <v>0</v>
      </c>
      <c r="AE16" s="13">
        <f t="shared" ref="AE16" si="61">AD16*18%</f>
        <v>0</v>
      </c>
      <c r="AF16" s="13">
        <f t="shared" ref="AF16" si="62">SUM(AD16:AE16)</f>
        <v>0</v>
      </c>
      <c r="AG16" s="13">
        <v>0</v>
      </c>
      <c r="AH16" s="13">
        <v>0</v>
      </c>
      <c r="AI16" s="13">
        <v>0</v>
      </c>
      <c r="AJ16" s="13">
        <v>0</v>
      </c>
      <c r="AK16" s="16"/>
      <c r="AL16" s="17"/>
      <c r="AM16" s="19">
        <v>-180</v>
      </c>
      <c r="AN16" s="19">
        <f>AK15+AJ16</f>
        <v>2392.5420079999981</v>
      </c>
    </row>
    <row r="17" spans="1:37" ns3:dyDescent="0.35">
      <c r="A17" s="5" t="s">
        <v>57</v>
      </c>
      <c r="B17" s="6">
        <v>46281</v>
      </c>
      <c r="C17" s="4" t="s">
        <v>8</v>
      </c>
      <c r="D17" s="6">
        <v>46282</v>
      </c>
      <c r="E17" s="5" t="s">
        <v>58</v>
      </c>
      <c r="F17" s="8">
        <v>2958</v>
      </c>
      <c r="G17" s="8">
        <f t="shared" si="17"/>
        <v>532.43999999999994</v>
      </c>
      <c r="H17" s="8">
        <v>140</v>
      </c>
      <c r="I17" s="8">
        <f t="shared" si="18"/>
        <v>25.2</v>
      </c>
      <c r="J17" s="38">
        <f t="shared" si="44"/>
        <v>3655.64</v>
      </c>
      <c r="K17" s="5" t="s">
        <v>12</v>
      </c>
      <c r="L17" s="8">
        <f t="shared" si="45"/>
        <v>147.9</v>
      </c>
      <c r="M17" s="8">
        <f t="shared" si="46"/>
        <v>26.622</v>
      </c>
      <c r="N17" s="8">
        <f t="shared" si="47"/>
        <v>174.52199999999999</v>
      </c>
      <c r="O17" s="8">
        <f t="shared" si="48"/>
        <v>59.160000000000004</v>
      </c>
      <c r="P17" s="8">
        <f t="shared" si="49"/>
        <v>10.6488</v>
      </c>
      <c r="Q17" s="8">
        <f t="shared" si="50"/>
        <v>69.808800000000005</v>
      </c>
      <c r="R17" s="8">
        <f t="shared" si="51"/>
        <v>402.12039999999996</v>
      </c>
      <c r="S17" s="8">
        <f t="shared" ref="S17:S19" si="63">R17*18%</f>
        <v>72.381671999999995</v>
      </c>
      <c r="T17" s="8">
        <f t="shared" ref="T17:T19" si="64">R17+S17</f>
        <v>474.50207199999994</v>
      </c>
      <c r="U17" s="8">
        <f t="shared" si="54"/>
        <v>140</v>
      </c>
      <c r="V17" s="8">
        <f t="shared" si="55"/>
        <v>25.2</v>
      </c>
      <c r="W17" s="8">
        <f t="shared" si="56"/>
        <v>165.2</v>
      </c>
      <c r="X17" s="27">
        <f t="shared" si="57"/>
        <v>14.790000000000001</v>
      </c>
      <c r="Y17" s="27">
        <f t="shared" si="58"/>
        <v>2.9580000000000002</v>
      </c>
      <c r="Z17" s="22">
        <f t="shared" si="43"/>
        <v>2753.8591280000001</v>
      </c>
      <c r="AA17" s="13">
        <v>0</v>
      </c>
      <c r="AB17" s="13">
        <f t="shared" ref="AB17" si="65">AA17*18%</f>
        <v>0</v>
      </c>
      <c r="AC17" s="13">
        <f t="shared" ref="AC17" si="66">SUM(AA17:AB17)</f>
        <v>0</v>
      </c>
      <c r="AD17" s="13">
        <v>0</v>
      </c>
      <c r="AE17" s="13">
        <f t="shared" ref="AE17" si="67">AD17*18%</f>
        <v>0</v>
      </c>
      <c r="AF17" s="13">
        <f t="shared" ref="AF17" si="68">SUM(AD17:AE17)</f>
        <v>0</v>
      </c>
      <c r="AG17" s="13">
        <v>0</v>
      </c>
      <c r="AH17" s="13">
        <v>0</v>
      </c>
      <c r="AI17" s="13">
        <v>0</v>
      </c>
      <c r="AJ17" s="13">
        <v>0</v>
      </c>
      <c r="AK17" s="16"/>
      <c r="AL17" s="17"/>
      <c r="AM17" s="19">
        <v>0</v>
      </c>
      <c r="AN17" s="19">
        <f>AK16+Z17</f>
        <v>5146.4011359999986</v>
      </c>
    </row>
    <row r="18" spans="1:37" ns3:dyDescent="0.35">
      <c r="A18" s="5" t="s">
        <v>6</v>
      </c>
      <c r="B18" s="6">
        <v>46285</v>
      </c>
      <c r="C18" s="4" t="s">
        <v>11</v>
      </c>
      <c r="D18" s="6">
        <v>46285</v>
      </c>
      <c r="E18" s="5" t="s">
        <v>7</v>
      </c>
      <c r="F18" s="8">
        <v>-2268</v>
      </c>
      <c r="G18" s="8">
        <f t="shared" si="17"/>
        <v>-408.24</v>
      </c>
      <c r="H18" s="8">
        <v>-105</v>
      </c>
      <c r="I18" s="8">
        <f t="shared" si="18"/>
        <v>-18.899999999999999</v>
      </c>
      <c r="J18" s="38">
        <f t="shared" ref="J18" si="69">SUM(F18:I18)</f>
        <v>-2800.14</v>
      </c>
      <c r="K18" s="5" t="s">
        <v>12</v>
      </c>
      <c r="L18" s="8">
        <f t="shared" si="45"/>
        <v>-113.4</v>
      </c>
      <c r="M18" s="8">
        <f t="shared" si="46"/>
        <v>-20.411999999999999</v>
      </c>
      <c r="N18" s="8">
        <f t="shared" si="47"/>
        <v>-133.81200000000001</v>
      </c>
      <c r="O18" s="8">
        <f t="shared" si="48"/>
        <v>-45.36</v>
      </c>
      <c r="P18" s="8">
        <f t="shared" si="49"/>
        <v>-8.1647999999999996</v>
      </c>
      <c r="Q18" s="8">
        <f t="shared" si="50"/>
        <v>-53.524799999999999</v>
      </c>
      <c r="R18" s="8">
        <f t="shared" si="51"/>
        <v>-308.0154</v>
      </c>
      <c r="S18" s="8">
        <f t="shared" si="63"/>
        <v>-55.442771999999998</v>
      </c>
      <c r="T18" s="8">
        <f t="shared" si="64"/>
        <v>-363.45817199999999</v>
      </c>
      <c r="U18" s="8">
        <f t="shared" si="54"/>
        <v>-105</v>
      </c>
      <c r="V18" s="8">
        <f t="shared" si="55"/>
        <v>-18.899999999999999</v>
      </c>
      <c r="W18" s="8">
        <f t="shared" si="56"/>
        <v>-123.9</v>
      </c>
      <c r="X18" s="27">
        <f t="shared" si="57"/>
        <v>-11.34</v>
      </c>
      <c r="Y18" s="27">
        <f t="shared" si="58"/>
        <v>-2.2680000000000002</v>
      </c>
      <c r="Z18" s="22">
        <f t="shared" ref="Z18" si="70">J18-(N18+Q18+T18+W18+X18+Y18)</f>
        <v>-2111.8370279999999</v>
      </c>
      <c r="AA18" s="13">
        <v>75</v>
      </c>
      <c r="AB18" s="13">
        <f t="shared" ref="AB18:AB19" si="71">AA18*18%</f>
        <v>13.5</v>
      </c>
      <c r="AC18" s="13">
        <f t="shared" ref="AC18:AC19" si="72">SUM(AA18:AB18)</f>
        <v>88.5</v>
      </c>
      <c r="AD18" s="13">
        <v>0</v>
      </c>
      <c r="AE18" s="13">
        <f t="shared" ref="AE18:AE19" si="73">AD18*18%</f>
        <v>0</v>
      </c>
      <c r="AF18" s="13">
        <f t="shared" ref="AF18:AF19" si="74">SUM(AD18:AE18)</f>
        <v>0</v>
      </c>
      <c r="AG18" s="13">
        <v>0</v>
      </c>
      <c r="AH18" s="13">
        <v>0</v>
      </c>
      <c r="AI18" s="13">
        <v>0</v>
      </c>
      <c r="AJ18" s="13">
        <v>0</v>
      </c>
      <c r="AK18" s="16"/>
      <c r="AL18" s="17"/>
      <c r="AM18" s="19">
        <v>0</v>
      </c>
      <c r="AN18" s="19">
        <f>AK17+Z18</f>
        <v>3034.5641079999987</v>
      </c>
    </row>
    <row r="19" spans="1:37" ns3:dyDescent="0.35">
      <c r="A19" s="5" t="s">
        <v>59</v>
      </c>
      <c r="B19" s="6">
        <v>46284</v>
      </c>
      <c r="C19" s="4" t="s">
        <v>41</v>
      </c>
      <c r="D19" s="6">
        <v>46284</v>
      </c>
      <c r="E19" s="5" t="s">
        <v>60</v>
      </c>
      <c r="F19" s="8">
        <v>0</v>
      </c>
      <c r="G19" s="8">
        <f t="shared" si="17"/>
        <v>0</v>
      </c>
      <c r="H19" s="8">
        <v>0</v>
      </c>
      <c r="I19" s="8">
        <f t="shared" si="18"/>
        <v>0</v>
      </c>
      <c r="J19" s="8">
        <v>0</v>
      </c>
      <c r="K19" s="5" t="s">
        <v>12</v>
      </c>
      <c r="L19" s="8">
        <f t="shared" si="45"/>
        <v>0</v>
      </c>
      <c r="M19" s="8">
        <f t="shared" si="46"/>
        <v>0</v>
      </c>
      <c r="N19" s="8">
        <f t="shared" si="47"/>
        <v>0</v>
      </c>
      <c r="O19" s="8">
        <f t="shared" si="48"/>
        <v>0</v>
      </c>
      <c r="P19" s="8">
        <f t="shared" si="49"/>
        <v>0</v>
      </c>
      <c r="Q19" s="8">
        <f t="shared" si="50"/>
        <v>0</v>
      </c>
      <c r="R19" s="8">
        <f t="shared" si="51"/>
        <v>0</v>
      </c>
      <c r="S19" s="8">
        <f t="shared" si="63"/>
        <v>0</v>
      </c>
      <c r="T19" s="8">
        <f t="shared" si="64"/>
        <v>0</v>
      </c>
      <c r="U19" s="8">
        <f t="shared" si="54"/>
        <v>0</v>
      </c>
      <c r="V19" s="8">
        <f t="shared" si="55"/>
        <v>0</v>
      </c>
      <c r="W19" s="8">
        <f t="shared" si="56"/>
        <v>0</v>
      </c>
      <c r="X19" s="27">
        <f t="shared" si="57"/>
        <v>0</v>
      </c>
      <c r="Y19" s="27">
        <f t="shared" si="58"/>
        <v>0</v>
      </c>
      <c r="Z19" s="22">
        <v>0</v>
      </c>
      <c r="AA19" s="13">
        <v>0</v>
      </c>
      <c r="AB19" s="13">
        <f t="shared" si="71"/>
        <v>0</v>
      </c>
      <c r="AC19" s="13">
        <f t="shared" si="72"/>
        <v>0</v>
      </c>
      <c r="AD19" s="13">
        <v>0</v>
      </c>
      <c r="AE19" s="13">
        <f t="shared" si="73"/>
        <v>0</v>
      </c>
      <c r="AF19" s="13">
        <f t="shared" si="74"/>
        <v>0</v>
      </c>
      <c r="AG19" s="13">
        <v>0</v>
      </c>
      <c r="AH19" s="13">
        <v>0</v>
      </c>
      <c r="AI19" s="13">
        <v>0</v>
      </c>
      <c r="AJ19" s="13">
        <v>0</v>
      </c>
      <c r="AK19" s="16"/>
      <c r="AL19" s="17"/>
      <c r="AM19" s="19">
        <v>-2201.83</v>
      </c>
      <c r="AN19" s="19">
        <f>AK18+AJ19</f>
        <v>832.73410799999874</v>
      </c>
    </row>
  </sheetData>
  <mergeCells count="19">
    <mergeCell ref="AK1:AN1"/>
    <mergeCell ref="L1:N1"/>
    <mergeCell ref="O1:Q1"/>
    <mergeCell ref="R1:T1"/>
    <mergeCell ref="U1:W1"/>
    <mergeCell ref="AA1:AC1"/>
    <mergeCell ref="AD1:AF1"/>
    <mergeCell ref="F2:G2"/>
    <mergeCell ref="H2:I2"/>
    <mergeCell ref="H1:I1"/>
    <mergeCell ref="F1:G1"/>
    <mergeCell ref="L2:N2"/>
    <mergeCell ref="O2:Q2"/>
    <mergeCell ref="R2:T2"/>
    <mergeCell ref="U2:W2"/>
    <mergeCell ref="AA2:AC2"/>
    <mergeCell ref="AD2:AF2"/>
    <mergeCell ref="AG1:AI1"/>
    <mergeCell ref="AG2:AI2"/>
  </mergeCells>
  <dataValidations disablePrompts="1" count="1">
    <dataValidation type="list" allowBlank="1" showInputMessage="1" showErrorMessage="1" sqref="C2:C3" ns2:uid="{39DB9B4E-F2E0-4CD1-8A08-E932A07AD756}">
      <formula1>"Sale, Return, Claim, Payment, Cancellation"</formula1>
    </dataValidation>
  </dataValidations>
  <pageMargins left="0.7" right="0.7" top="0.75" bottom="0.75" header="0.3" footer="0.3"/>
  <ignoredErrors>
    <ignoredError sqref="AK5 AK9 H5:H15 D4:F15 H4 K4:AG4 J5:AG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Jha</dc:creator>
  <cp:lastModifiedBy>Rakesh Choudhary</cp:lastModifiedBy>
  <dcterms:created xsi:type="dcterms:W3CDTF">2026-09-11T05:27:15Z</dcterms:created>
  <dcterms:modified xsi:type="dcterms:W3CDTF">2026-10-11T06:19:37Z</dcterms:modified>
</cp:coreProperties>
</file>